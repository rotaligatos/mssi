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ting List" sheetId="1" r:id="rId1"/>
    <sheet name="HPL Lamination" sheetId="2" r:id="rId2"/>
    <sheet name="Hardware" sheetId="3" r:id="rId3"/>
    <sheet name="Materials (ModCraft)" sheetId="4" r:id="rId4"/>
    <sheet name="Edge Codes" sheetId="5" r:id="rId5"/>
    <sheet name="Lis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Group (cabinet/area)</v>
      </c>
      <c r="B1" t="str">
        <v>Part</v>
      </c>
      <c r="C1" t="str">
        <v>Material SKU</v>
      </c>
      <c r="D1" t="str">
        <v>Thickness (mm)</v>
      </c>
      <c r="E1" t="str">
        <v>Qty</v>
      </c>
      <c r="F1" t="str">
        <v>Width (mm)</v>
      </c>
      <c r="G1" t="str">
        <v>Length (mm)</v>
      </c>
      <c r="H1" t="str">
        <v>Edge Band</v>
      </c>
      <c r="I1" t="str">
        <v>Edge Material</v>
      </c>
      <c r="J1" t="str">
        <v>Grain (L/W)</v>
      </c>
      <c r="K1" t="str">
        <v>Services</v>
      </c>
      <c r="L1" t="str">
        <v>Remarks</v>
      </c>
    </row>
    <row r="2">
      <c r="A2" t="str">
        <v>Kitchen — Base Cabinet 1</v>
      </c>
      <c r="B2" t="str">
        <v>Side panel</v>
      </c>
      <c r="C2" t="str">
        <v>Real White PB 4x8 2F (18mm, Matte)</v>
      </c>
      <c r="D2">
        <v>18</v>
      </c>
      <c r="E2">
        <v>2</v>
      </c>
      <c r="F2">
        <v>560</v>
      </c>
      <c r="G2">
        <v>720</v>
      </c>
      <c r="H2" t="str">
        <v>1L 1S</v>
      </c>
      <c r="I2" t="str">
        <v>Bamboo .5mmx22mm Matte PVC Premium Edgeband</v>
      </c>
      <c r="J2" t="str">
        <v>L</v>
      </c>
      <c r="K2" t="str">
        <v>Boring 35mm (Hinges) x 4 holes</v>
      </c>
      <c r="L2" t="str">
        <v>hinge side is the left edge</v>
      </c>
    </row>
    <row r="3">
      <c r="A3" t="str">
        <v>Kitchen — Base Cabinet 1</v>
      </c>
      <c r="B3" t="str">
        <v>Door</v>
      </c>
      <c r="C3" t="str">
        <v>Walnut 259 PB 4x8 2F (18mm, Matte)</v>
      </c>
      <c r="D3">
        <v>18</v>
      </c>
      <c r="E3">
        <v>2</v>
      </c>
      <c r="F3">
        <v>296</v>
      </c>
      <c r="G3">
        <v>716</v>
      </c>
      <c r="H3" t="str">
        <v>4S</v>
      </c>
      <c r="I3" t="str">
        <v>Bamboo .5mmx22mm Matte PVC Premium Edgeband</v>
      </c>
      <c r="J3" t="str">
        <v>L</v>
      </c>
      <c r="K3" t="str">
        <v/>
      </c>
      <c r="L3" t="str">
        <v/>
      </c>
    </row>
  </sheetData>
  <dataValidations count="3">
    <dataValidation type="list" allowBlank="1" showInputMessage="1" showErrorMessage="0" promptTitle="Part" prompt="Pick one, or type your own component name." sqref="B2:B2000">
      <formula1>Lists!$A$2:$A$28</formula1>
    </dataValidation>
    <dataValidation type="list" allowBlank="1" showInputMessage="1" showErrorMessage="1" errorTitle="Edge band code" error="Pick one of the MSSI codes, or leave it blank for no banding." promptTitle="Edge band" prompt="Which edges get banding. Long and short follow the piece." sqref="H2:H2000">
      <formula1>"1L,2L,1S,2S,1L 1S,2L 1S,1L 2S,4S"</formula1>
    </dataValidation>
    <dataValidation type="list" allowBlank="1" showInputMessage="1" showErrorMessage="0" promptTitle="Services" prompt="Pick one, then add the count if it is charged per hole, e.g. x 4 holes. Separate several with a semicolon." sqref="K2:K2000">
      <formula1>Lists!$B$2:$B$28</formula1>
    </dataValidation>
  </dataValidations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Substrate</v>
      </c>
      <c r="B1" t="str">
        <v>HPL finish</v>
      </c>
      <c r="C1" t="str">
        <v>Faces</v>
      </c>
      <c r="D1" t="str">
        <v>Width (mm)</v>
      </c>
      <c r="E1" t="str">
        <v>Length (mm)</v>
      </c>
      <c r="F1" t="str">
        <v>Qty</v>
      </c>
      <c r="G1" t="str">
        <v>Cut to size (Y/N)</v>
      </c>
    </row>
    <row r="2">
      <c r="A2" t="str">
        <v>Raw Boards 4x8 18mm MDF</v>
      </c>
      <c r="B2" t="str">
        <v>Pure white 4x8 0.7mm HPL</v>
      </c>
      <c r="C2" t="str">
        <v>2F</v>
      </c>
      <c r="D2">
        <v>1220</v>
      </c>
      <c r="E2">
        <v>2440</v>
      </c>
      <c r="F2">
        <v>4</v>
      </c>
      <c r="G2" t="str">
        <v>N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Item</v>
      </c>
      <c r="B1" t="str">
        <v>Qty</v>
      </c>
      <c r="C1" t="str">
        <v>Unit</v>
      </c>
      <c r="D1" t="str">
        <v>Notes</v>
      </c>
    </row>
    <row r="2">
      <c r="A2" t="str">
        <v>Overlay hinge</v>
      </c>
      <c r="B2">
        <v>4</v>
      </c>
      <c r="C2" t="str">
        <v>pcs</v>
      </c>
      <c r="D2" t="str">
        <v>2 per door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80.83203125" customWidth="1"/>
  </cols>
  <sheetData>
    <row r="1">
      <c r="A1" t="str">
        <v>Materials</v>
      </c>
    </row>
    <row r="2">
      <c r="A2" t="str">
        <v>The material column takes a ModCraft catalogue name, which already carries</v>
      </c>
    </row>
    <row r="3">
      <c r="A3" t="str">
        <v>substrate, board size, face count, thickness and texture — for example:</v>
      </c>
    </row>
    <row r="4">
      <c r="A4" t="str">
        <v xml:space="preserve">    Bleached Chestnut PB 4x8 1F (18mm, Crosscut)</v>
      </c>
    </row>
    <row r="5">
      <c r="A5" t="str">
        <v/>
      </c>
    </row>
    <row r="6">
      <c r="A6" t="str">
        <v>There are over 124,000 of them, so they are not listed here. Search them in</v>
      </c>
    </row>
    <row r="7">
      <c r="A7" t="str">
        <v>the order form on the website; the material field looks them up as you type.</v>
      </c>
    </row>
    <row r="8">
      <c r="A8" t="str">
        <v>Anything typed that is not a catalogue name still comes through — it is</v>
      </c>
    </row>
    <row r="9">
      <c r="A9" t="str">
        <v>flagged for our estimator rather than rejected.</v>
      </c>
    </row>
    <row r="10">
      <c r="A10" t="str">
        <v/>
      </c>
    </row>
    <row r="11">
      <c r="A11" t="str">
        <v>ADD AS MANY ROWS AS YOU LIKE. Do not insert, move or delete COLUMNS —</v>
      </c>
    </row>
    <row r="12">
      <c r="A12" t="str">
        <v>the upload reads them by position and will tell you if they do not match.</v>
      </c>
    </row>
  </sheetData>
  <ignoredErrors>
    <ignoredError numberStoredAsText="1" sqref="A1:A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2.83203125" customWidth="1"/>
    <col min="2" max="2" width="30.83203125" customWidth="1"/>
  </cols>
  <sheetData>
    <row r="1">
      <c r="A1" t="str">
        <v>Code</v>
      </c>
      <c r="B1" t="str">
        <v>Meaning</v>
      </c>
    </row>
    <row r="2">
      <c r="A2" t="str">
        <v>1L</v>
      </c>
      <c r="B2" t="str">
        <v>one long edge</v>
      </c>
    </row>
    <row r="3">
      <c r="A3" t="str">
        <v>2L</v>
      </c>
      <c r="B3" t="str">
        <v>both long edges</v>
      </c>
    </row>
    <row r="4">
      <c r="A4" t="str">
        <v>1S</v>
      </c>
      <c r="B4" t="str">
        <v>one short edge</v>
      </c>
    </row>
    <row r="5">
      <c r="A5" t="str">
        <v>2S</v>
      </c>
      <c r="B5" t="str">
        <v>both short edges</v>
      </c>
    </row>
    <row r="6">
      <c r="A6" t="str">
        <v>1L 1S</v>
      </c>
      <c r="B6" t="str">
        <v>one long + one short</v>
      </c>
    </row>
    <row r="7">
      <c r="A7" t="str">
        <v>2L 1S</v>
      </c>
      <c r="B7" t="str">
        <v>both long + one short</v>
      </c>
    </row>
    <row r="8">
      <c r="A8" t="str">
        <v>1L 2S</v>
      </c>
      <c r="B8" t="str">
        <v>one long + both short</v>
      </c>
    </row>
    <row r="9">
      <c r="A9" t="str">
        <v>4S</v>
      </c>
      <c r="B9" t="str">
        <v>all round</v>
      </c>
    </row>
    <row r="10">
      <c r="A10" t="str">
        <v>(blank)</v>
      </c>
      <c r="B10" t="str">
        <v>no banding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26.83203125" customWidth="1"/>
    <col min="2" max="2" width="42.83203125" customWidth="1"/>
    <col min="3" max="3" width="12.83203125" customWidth="1"/>
  </cols>
  <sheetData>
    <row r="1">
      <c r="A1" t="str">
        <v>Part names</v>
      </c>
      <c r="B1" t="str">
        <v>Services</v>
      </c>
      <c r="C1" t="str">
        <v>Charged</v>
      </c>
    </row>
    <row r="2">
      <c r="A2" t="str">
        <v>Side panel</v>
      </c>
      <c r="B2" t="str">
        <v>Boring 5mm (Pegs)</v>
      </c>
      <c r="C2" t="str">
        <v>per hole</v>
      </c>
    </row>
    <row r="3">
      <c r="A3" t="str">
        <v>Top panel</v>
      </c>
      <c r="B3" t="str">
        <v>Boring 8mm (Glider)</v>
      </c>
      <c r="C3" t="str">
        <v>per hole</v>
      </c>
    </row>
    <row r="4">
      <c r="A4" t="str">
        <v>Bottom panel</v>
      </c>
      <c r="B4" t="str">
        <v>Boring 15mm, 10mm, 8mm dia (Minifix)</v>
      </c>
      <c r="C4" t="str">
        <v>per hole</v>
      </c>
    </row>
    <row r="5">
      <c r="A5" t="str">
        <v>Top rail</v>
      </c>
      <c r="B5" t="str">
        <v>Boring 35mm (Hinges)</v>
      </c>
      <c r="C5" t="str">
        <v>per hole</v>
      </c>
    </row>
    <row r="6">
      <c r="A6" t="str">
        <v>Back panel</v>
      </c>
      <c r="B6" t="str">
        <v>Boring 35mm (Grommet)</v>
      </c>
      <c r="C6" t="str">
        <v>per hole</v>
      </c>
    </row>
    <row r="7">
      <c r="A7" t="str">
        <v>Fixed shelf</v>
      </c>
      <c r="B7" t="str">
        <v>Boring 59mm (Grommet)</v>
      </c>
      <c r="C7" t="str">
        <v>per hole</v>
      </c>
    </row>
    <row r="8">
      <c r="A8" t="str">
        <v>Adjustable shelf</v>
      </c>
      <c r="B8" t="str">
        <v>Boring (Drawer lock)</v>
      </c>
      <c r="C8" t="str">
        <v>per hole</v>
      </c>
    </row>
    <row r="9">
      <c r="A9" t="str">
        <v>Partition</v>
      </c>
      <c r="B9" t="str">
        <v>Grooving (3mm width melamine)</v>
      </c>
      <c r="C9" t="str">
        <v>per lm</v>
      </c>
    </row>
    <row r="10">
      <c r="A10" t="str">
        <v>Door</v>
      </c>
      <c r="B10" t="str">
        <v>Grooving (3mm width compact lam)</v>
      </c>
      <c r="C10" t="str">
        <v>per lm</v>
      </c>
    </row>
    <row r="11">
      <c r="A11" t="str">
        <v>Drawer front</v>
      </c>
      <c r="B11" t="str">
        <v>Router Grooving</v>
      </c>
      <c r="C11" t="str">
        <v>per lm</v>
      </c>
    </row>
    <row r="12">
      <c r="A12" t="str">
        <v>Drawer side</v>
      </c>
      <c r="B12" t="str">
        <v>Sliding Door Grooving</v>
      </c>
      <c r="C12" t="str">
        <v>per lm</v>
      </c>
    </row>
    <row r="13">
      <c r="A13" t="str">
        <v>Drawer back</v>
      </c>
      <c r="B13" t="str">
        <v>Handgrab Groove</v>
      </c>
      <c r="C13" t="str">
        <v>per lm</v>
      </c>
    </row>
    <row r="14">
      <c r="A14" t="str">
        <v>Drawer bottom</v>
      </c>
      <c r="B14" t="str">
        <v>Flush Handle Groove</v>
      </c>
      <c r="C14" t="str">
        <v>per piece</v>
      </c>
    </row>
    <row r="15">
      <c r="A15" t="str">
        <v>Filler</v>
      </c>
      <c r="B15" t="str">
        <v>Routered Handgrab / Finger handgrab</v>
      </c>
      <c r="C15" t="str">
        <v>per piece</v>
      </c>
    </row>
    <row r="16">
      <c r="A16" t="str">
        <v>Toe kick</v>
      </c>
      <c r="B16" t="str">
        <v>Routeriing (Special Cut)</v>
      </c>
      <c r="C16" t="str">
        <v>per lm</v>
      </c>
    </row>
    <row r="17">
      <c r="A17" t="str">
        <v>Worktop</v>
      </c>
      <c r="B17" t="str">
        <v>Manual Edgebanding EVA</v>
      </c>
      <c r="C17" t="str">
        <v>per lm</v>
      </c>
    </row>
    <row r="18">
      <c r="A18" t="str">
        <v>Other</v>
      </c>
      <c r="B18" t="str">
        <v>Manual Edgebanding EVA Transparent</v>
      </c>
      <c r="C18" t="str">
        <v>per lm</v>
      </c>
    </row>
    <row r="19">
      <c r="A19" t="str">
        <v/>
      </c>
      <c r="B19" t="str">
        <v>Handgrab tapering</v>
      </c>
      <c r="C19" t="str">
        <v>per lm</v>
      </c>
    </row>
    <row r="20">
      <c r="A20" t="str">
        <v/>
      </c>
      <c r="B20" t="str">
        <v>Handgrab Intallation</v>
      </c>
      <c r="C20" t="str">
        <v>per piece</v>
      </c>
    </row>
    <row r="21">
      <c r="A21" t="str">
        <v/>
      </c>
      <c r="B21" t="str">
        <v>Sanding</v>
      </c>
      <c r="C21" t="str">
        <v>per lm</v>
      </c>
    </row>
    <row r="22">
      <c r="A22" t="str">
        <v/>
      </c>
      <c r="B22" t="str">
        <v>Trimming</v>
      </c>
      <c r="C22" t="str">
        <v>per lm</v>
      </c>
    </row>
    <row r="23">
      <c r="A23" t="str">
        <v/>
      </c>
      <c r="B23" t="str">
        <v>Glueing Services</v>
      </c>
      <c r="C23" t="str">
        <v>per lm</v>
      </c>
    </row>
    <row r="24">
      <c r="A24" t="str">
        <v/>
      </c>
      <c r="B24" t="str">
        <v>Putty / Painting Job</v>
      </c>
      <c r="C24" t="str">
        <v>per piece</v>
      </c>
    </row>
    <row r="25">
      <c r="A25" t="str">
        <v/>
      </c>
      <c r="B25" t="str">
        <v>Doorframe</v>
      </c>
      <c r="C25" t="str">
        <v>per piece</v>
      </c>
    </row>
    <row r="26">
      <c r="A26" t="str">
        <v/>
      </c>
      <c r="B26" t="str">
        <v>Board Assembly</v>
      </c>
      <c r="C26" t="str">
        <v>per sq.m</v>
      </c>
    </row>
    <row r="27">
      <c r="A27" t="str">
        <v/>
      </c>
      <c r="B27" t="str">
        <v>Mirror Assembly</v>
      </c>
      <c r="C27" t="str">
        <v>per sq.m</v>
      </c>
    </row>
    <row r="28">
      <c r="A28" t="str">
        <v/>
      </c>
      <c r="B28" t="str">
        <v>Sorting Charge</v>
      </c>
      <c r="C28" t="str">
        <v>per piece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Cutting List</vt:lpstr>
      <vt:lpstr>HPL Lamination</vt:lpstr>
      <vt:lpstr>Hardware</vt:lpstr>
      <vt:lpstr>Materials (ModCraft)</vt:lpstr>
      <vt:lpstr>Edge Codes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